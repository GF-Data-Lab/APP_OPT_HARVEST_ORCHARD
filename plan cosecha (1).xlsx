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 Fuentes\Desktop\"/>
    </mc:Choice>
  </mc:AlternateContent>
  <xr:revisionPtr revIDLastSave="0" documentId="13_ncr:1_{A8A47A3B-F562-49B6-ABAF-07F3ABE7D542}" xr6:coauthVersionLast="47" xr6:coauthVersionMax="47" xr10:uidLastSave="{00000000-0000-0000-0000-000000000000}"/>
  <bookViews>
    <workbookView xWindow="-110" yWindow="-110" windowWidth="19420" windowHeight="10300" xr2:uid="{574D5855-6FC7-4958-BE12-C11BA35ADD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9" i="1"/>
  <c r="H16" i="1"/>
  <c r="H4" i="1"/>
  <c r="H5" i="1"/>
  <c r="H6" i="1"/>
  <c r="H7" i="1"/>
  <c r="H8" i="1"/>
  <c r="H14" i="1"/>
  <c r="H15" i="1"/>
  <c r="H3" i="1"/>
  <c r="G10" i="1"/>
  <c r="G11" i="1"/>
  <c r="G12" i="1"/>
  <c r="G13" i="1"/>
  <c r="G9" i="1"/>
  <c r="G16" i="1"/>
  <c r="G15" i="1"/>
  <c r="G14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<sst xmlns="http://schemas.openxmlformats.org/spreadsheetml/2006/main" count="22" uniqueCount="10">
  <si>
    <t>CECO</t>
  </si>
  <si>
    <t>TOTAL PLANTAS</t>
  </si>
  <si>
    <t>N° HILERAS</t>
  </si>
  <si>
    <t>MARCO PLANTACION</t>
  </si>
  <si>
    <t>ESTIMACION KG/HÁ</t>
  </si>
  <si>
    <t>KILOS COSECHADOS AL BARRER X PLANTA</t>
  </si>
  <si>
    <t>KILOS COSECHADOS FLOREO X PLANTA</t>
  </si>
  <si>
    <t>CUARTEL</t>
  </si>
  <si>
    <t>4 entre hilera x 2 sobre hilera</t>
  </si>
  <si>
    <t>4 entre hilera x 1.25 sobre hilera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</si>
</sst>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381B-3BBB-4E0F-8C29-5C32E4376331}">
  <dimension ref="A2:H16"/>
  <sheetViews>
    <sheetView tabSelected="1" workbookViewId="0">
      <selection activeCell="E8" sqref="E8"/>
    </sheetView>
  </sheetViews>
  <sheetFormatPr baseColWidth="10" defaultRowHeight="14.5" x14ac:dyDescent="0.35"/>
  <cols>
    <col min="3" max="3" width="13.7265625" bestFit="1" customWidth="1"/>
    <col min="5" max="5" width="26.54296875" bestFit="1" customWidth="1"/>
    <col min="6" max="6" width="16.81640625" bestFit="1" customWidth="1"/>
    <col min="7" max="7" width="33.36328125" bestFit="1" customWidth="1"/>
    <col min="8" max="8" width="35.453125" bestFit="1" customWidth="1"/>
  </cols>
  <sheetData>
    <row r="2" spans="1:8" x14ac:dyDescent="0.35">
      <c r="A2" s="2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5</v>
      </c>
    </row>
    <row r="3" spans="1:8" x14ac:dyDescent="0.35">
      <c r="A3" s="1">
        <v>10784</v>
      </c>
      <c r="B3" s="1">
        <v>1</v>
      </c>
      <c r="C3" s="1">
        <v>11250</v>
      </c>
      <c r="D3" s="1">
        <v>87</v>
      </c>
      <c r="E3" s="1" t="s">
        <v>8</v>
      </c>
      <c r="F3" s="4">
        <v>14000</v>
      </c>
      <c r="G3" s="1">
        <f>F3*0.25/1250</f>
        <v>2.8</v>
      </c>
      <c r="H3" s="1">
        <f>F3/1250</f>
        <v>11.2</v>
      </c>
    </row>
    <row r="4" spans="1:8" x14ac:dyDescent="0.35">
      <c r="A4" s="1">
        <v>10784</v>
      </c>
      <c r="B4" s="1">
        <v>2</v>
      </c>
      <c r="C4" s="1">
        <v>11125</v>
      </c>
      <c r="D4" s="1">
        <v>87</v>
      </c>
      <c r="E4" s="1" t="s">
        <v>8</v>
      </c>
      <c r="F4" s="4">
        <v>15000</v>
      </c>
      <c r="G4" s="1">
        <f t="shared" ref="G4:G16" si="0">F4*0.25/1250</f>
        <v>3</v>
      </c>
      <c r="H4" s="1">
        <f t="shared" ref="H4:H16" si="1">F4/1250</f>
        <v>12</v>
      </c>
    </row>
    <row r="5" spans="1:8" x14ac:dyDescent="0.35">
      <c r="A5" s="1">
        <v>10785</v>
      </c>
      <c r="B5" s="1">
        <v>1</v>
      </c>
      <c r="C5" s="1">
        <v>4625</v>
      </c>
      <c r="D5" s="1">
        <v>46</v>
      </c>
      <c r="E5" s="1" t="s">
        <v>8</v>
      </c>
      <c r="F5" s="4">
        <v>12000</v>
      </c>
      <c r="G5" s="1">
        <f t="shared" si="0"/>
        <v>2.4</v>
      </c>
      <c r="H5" s="1">
        <f t="shared" si="1"/>
        <v>9.6</v>
      </c>
    </row>
    <row r="6" spans="1:8" x14ac:dyDescent="0.35">
      <c r="A6" s="1">
        <v>10785</v>
      </c>
      <c r="B6" s="1">
        <v>2</v>
      </c>
      <c r="C6" s="1">
        <v>3625</v>
      </c>
      <c r="D6" s="1">
        <v>29</v>
      </c>
      <c r="E6" s="1" t="s">
        <v>8</v>
      </c>
      <c r="F6" s="4">
        <v>14000</v>
      </c>
      <c r="G6" s="1">
        <f t="shared" si="0"/>
        <v>2.8</v>
      </c>
      <c r="H6" s="1">
        <f t="shared" si="1"/>
        <v>11.2</v>
      </c>
    </row>
    <row r="7" spans="1:8" x14ac:dyDescent="0.35">
      <c r="A7" s="1">
        <v>10785</v>
      </c>
      <c r="B7" s="1">
        <v>3</v>
      </c>
      <c r="C7" s="1">
        <v>11250</v>
      </c>
      <c r="D7" s="1">
        <v>87</v>
      </c>
      <c r="E7" s="1" t="s">
        <v>8</v>
      </c>
      <c r="F7" s="4">
        <v>14000</v>
      </c>
      <c r="G7" s="1">
        <f t="shared" si="0"/>
        <v>2.8</v>
      </c>
      <c r="H7" s="1">
        <f t="shared" si="1"/>
        <v>11.2</v>
      </c>
    </row>
    <row r="8" spans="1:8" x14ac:dyDescent="0.35">
      <c r="A8" s="1">
        <v>10786</v>
      </c>
      <c r="B8" s="1">
        <v>1</v>
      </c>
      <c r="C8" s="1">
        <v>7500</v>
      </c>
      <c r="D8" s="1">
        <v>57</v>
      </c>
      <c r="E8" s="1" t="s">
        <v>8</v>
      </c>
      <c r="F8" s="4">
        <v>18000</v>
      </c>
      <c r="G8" s="1">
        <f t="shared" si="0"/>
        <v>3.6</v>
      </c>
      <c r="H8" s="1">
        <f t="shared" si="1"/>
        <v>14.4</v>
      </c>
    </row>
    <row r="9" spans="1:8" x14ac:dyDescent="0.35">
      <c r="A9" s="1">
        <v>10787</v>
      </c>
      <c r="B9" s="1">
        <v>1</v>
      </c>
      <c r="C9" s="1">
        <v>14700</v>
      </c>
      <c r="D9" s="1">
        <v>84</v>
      </c>
      <c r="E9" s="1" t="s">
        <v>9</v>
      </c>
      <c r="F9" s="4">
        <v>14000</v>
      </c>
      <c r="G9" s="1">
        <f>F9*0.25/2000</f>
        <v>1.75</v>
      </c>
      <c r="H9" s="1">
        <f>F9/2000</f>
        <v>7</v>
      </c>
    </row>
    <row r="10" spans="1:8" x14ac:dyDescent="0.35">
      <c r="A10" s="1">
        <v>10787</v>
      </c>
      <c r="B10" s="1">
        <v>2</v>
      </c>
      <c r="C10" s="1">
        <v>16400</v>
      </c>
      <c r="D10" s="1">
        <v>85</v>
      </c>
      <c r="E10" s="1" t="s">
        <v>9</v>
      </c>
      <c r="F10" s="4">
        <v>14000</v>
      </c>
      <c r="G10" s="1">
        <f t="shared" ref="G10:G13" si="2">F10*0.25/2000</f>
        <v>1.75</v>
      </c>
      <c r="H10" s="1">
        <f t="shared" ref="H10:H13" si="3">F10/2000</f>
        <v>7</v>
      </c>
    </row>
    <row r="11" spans="1:8" x14ac:dyDescent="0.35">
      <c r="A11" s="1">
        <v>10787</v>
      </c>
      <c r="B11" s="3">
        <v>3</v>
      </c>
      <c r="C11" s="1">
        <v>17500</v>
      </c>
      <c r="D11" s="1">
        <v>85</v>
      </c>
      <c r="E11" s="1" t="s">
        <v>9</v>
      </c>
      <c r="F11" s="4">
        <v>14000</v>
      </c>
      <c r="G11" s="1">
        <f t="shared" si="2"/>
        <v>1.75</v>
      </c>
      <c r="H11" s="1">
        <f t="shared" si="3"/>
        <v>7</v>
      </c>
    </row>
    <row r="12" spans="1:8" x14ac:dyDescent="0.35">
      <c r="A12" s="1">
        <v>10787</v>
      </c>
      <c r="B12" s="3">
        <v>4</v>
      </c>
      <c r="C12" s="1">
        <v>14400</v>
      </c>
      <c r="D12" s="1">
        <v>90</v>
      </c>
      <c r="E12" s="1" t="s">
        <v>9</v>
      </c>
      <c r="F12" s="4">
        <v>14000</v>
      </c>
      <c r="G12" s="1">
        <f t="shared" si="2"/>
        <v>1.75</v>
      </c>
      <c r="H12" s="1">
        <f t="shared" si="3"/>
        <v>7</v>
      </c>
    </row>
    <row r="13" spans="1:8" x14ac:dyDescent="0.35">
      <c r="A13" s="3">
        <v>10787</v>
      </c>
      <c r="B13" s="3">
        <v>5</v>
      </c>
      <c r="C13" s="1">
        <v>14000</v>
      </c>
      <c r="D13" s="1">
        <v>90</v>
      </c>
      <c r="E13" s="1" t="s">
        <v>9</v>
      </c>
      <c r="F13" s="4">
        <v>14000</v>
      </c>
      <c r="G13" s="1">
        <f t="shared" si="2"/>
        <v>1.75</v>
      </c>
      <c r="H13" s="1">
        <f t="shared" si="3"/>
        <v>7</v>
      </c>
    </row>
    <row r="14" spans="1:8" x14ac:dyDescent="0.35">
      <c r="A14" s="3">
        <v>11801</v>
      </c>
      <c r="B14" s="1">
        <v>1</v>
      </c>
      <c r="C14" s="1">
        <v>4375</v>
      </c>
      <c r="D14" s="1">
        <v>44</v>
      </c>
      <c r="E14" s="1" t="s">
        <v>8</v>
      </c>
      <c r="F14" s="4">
        <v>15000</v>
      </c>
      <c r="G14" s="1">
        <f t="shared" si="0"/>
        <v>3</v>
      </c>
      <c r="H14" s="1">
        <f t="shared" si="1"/>
        <v>12</v>
      </c>
    </row>
    <row r="15" spans="1:8" x14ac:dyDescent="0.35">
      <c r="A15" s="3">
        <v>11801</v>
      </c>
      <c r="B15" s="1">
        <v>2</v>
      </c>
      <c r="C15" s="1">
        <v>875</v>
      </c>
      <c r="D15" s="1">
        <v>26</v>
      </c>
      <c r="E15" s="1" t="s">
        <v>8</v>
      </c>
      <c r="F15" s="4">
        <v>15000</v>
      </c>
      <c r="G15" s="1">
        <f t="shared" si="0"/>
        <v>3</v>
      </c>
      <c r="H15" s="1">
        <f t="shared" si="1"/>
        <v>12</v>
      </c>
    </row>
    <row r="16" spans="1:8" x14ac:dyDescent="0.35">
      <c r="A16" s="3">
        <v>11801</v>
      </c>
      <c r="B16" s="1">
        <v>3</v>
      </c>
      <c r="C16" s="1">
        <v>11000</v>
      </c>
      <c r="D16" s="1">
        <v>86</v>
      </c>
      <c r="E16" s="1" t="s">
        <v>8</v>
      </c>
      <c r="F16" s="4">
        <v>15000</v>
      </c>
      <c r="G16" s="1">
        <f t="shared" si="0"/>
        <v>3</v>
      </c>
      <c r="H16" s="1">
        <f t="shared" si="1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Fuentes Ramirez</dc:creator>
  <cp:lastModifiedBy>Rodrigo Fuentes Ramirez</cp:lastModifiedBy>
  <dcterms:created xsi:type="dcterms:W3CDTF">2025-10-06T11:07:48Z</dcterms:created>
  <dcterms:modified xsi:type="dcterms:W3CDTF">2025-10-06T12:09:03Z</dcterms:modified>
</cp:coreProperties>
</file>